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B746C74-D8C6-465A-8573-3867731A731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1" l="1"/>
  <c r="P37" i="1" l="1"/>
  <c r="P13" i="1" l="1"/>
  <c r="P25" i="1"/>
  <c r="P49" i="1"/>
</calcChain>
</file>

<file path=xl/sharedStrings.xml><?xml version="1.0" encoding="utf-8"?>
<sst xmlns="http://schemas.openxmlformats.org/spreadsheetml/2006/main" count="16" uniqueCount="16">
  <si>
    <t>France</t>
  </si>
  <si>
    <t>UK</t>
  </si>
  <si>
    <t>Germany</t>
  </si>
  <si>
    <t>US</t>
  </si>
  <si>
    <t>Spain</t>
  </si>
  <si>
    <t>Austria</t>
  </si>
  <si>
    <t>China</t>
  </si>
  <si>
    <t>Netherlands</t>
  </si>
  <si>
    <t>Belgium</t>
  </si>
  <si>
    <t>mobile_cost</t>
  </si>
  <si>
    <t>month</t>
  </si>
  <si>
    <t>average</t>
  </si>
  <si>
    <t>Canada</t>
  </si>
  <si>
    <t>Italy</t>
  </si>
  <si>
    <t>Tunisia</t>
  </si>
  <si>
    <t>Denmark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</si>
</sst>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1"/>
  <sheetViews>
    <sheetView tabSelected="1" workbookViewId="0">
      <pane ySplit="1" topLeftCell="A95" activePane="bottomLeft" state="frozen"/>
      <selection pane="bottomLeft" activeCell="J120" sqref="J120"/>
    </sheetView>
  </sheetViews>
  <sheetFormatPr defaultColWidth="9.1796875" defaultRowHeight="14.5" x14ac:dyDescent="0.35"/>
  <cols>
    <col min="1" max="1" width="10.1796875" style="4" bestFit="1" customWidth="1"/>
    <col min="2" max="2" width="3.26953125" style="3" bestFit="1" customWidth="1"/>
    <col min="3" max="3" width="6.81640625" style="3" bestFit="1" customWidth="1"/>
    <col min="4" max="4" width="3.453125" style="3" bestFit="1" customWidth="1"/>
    <col min="5" max="5" width="9" style="3" bestFit="1" customWidth="1"/>
    <col min="6" max="6" width="5.81640625" style="3" bestFit="1" customWidth="1"/>
    <col min="7" max="7" width="7.26953125" style="1" bestFit="1" customWidth="1"/>
    <col min="8" max="8" width="6" style="1" bestFit="1" customWidth="1"/>
    <col min="9" max="9" width="12" style="2" bestFit="1" customWidth="1"/>
    <col min="10" max="10" width="8.26953125" style="2" bestFit="1" customWidth="1"/>
    <col min="11" max="14" width="8.26953125" style="2" customWidth="1"/>
    <col min="15" max="15" width="11.81640625" style="1" bestFit="1" customWidth="1"/>
    <col min="16" max="16384" width="9.1796875" style="2"/>
  </cols>
  <sheetData>
    <row r="1" spans="1:16" x14ac:dyDescent="0.35">
      <c r="A1" s="4" t="s">
        <v>10</v>
      </c>
      <c r="B1" s="3" t="s">
        <v>3</v>
      </c>
      <c r="C1" s="3" t="s">
        <v>0</v>
      </c>
      <c r="D1" s="3" t="s">
        <v>1</v>
      </c>
      <c r="E1" s="3" t="s">
        <v>2</v>
      </c>
      <c r="F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2" t="s">
        <v>12</v>
      </c>
      <c r="L1" s="2" t="s">
        <v>13</v>
      </c>
      <c r="M1" s="2" t="s">
        <v>14</v>
      </c>
      <c r="N1" s="2" t="s">
        <v>15</v>
      </c>
      <c r="O1" s="1" t="s">
        <v>9</v>
      </c>
      <c r="P1" s="2" t="s">
        <v>11</v>
      </c>
    </row>
    <row r="2" spans="1:16" x14ac:dyDescent="0.35">
      <c r="A2" s="4">
        <v>42370</v>
      </c>
      <c r="E2" s="3">
        <v>1</v>
      </c>
    </row>
    <row r="3" spans="1:16" x14ac:dyDescent="0.35">
      <c r="A3" s="4">
        <v>42401</v>
      </c>
    </row>
    <row r="4" spans="1:16" x14ac:dyDescent="0.35">
      <c r="A4" s="4">
        <v>42430</v>
      </c>
    </row>
    <row r="5" spans="1:16" x14ac:dyDescent="0.35">
      <c r="A5" s="4">
        <v>42461</v>
      </c>
      <c r="G5" s="3"/>
      <c r="H5" s="3"/>
      <c r="I5" s="3"/>
      <c r="J5" s="3"/>
      <c r="K5" s="3"/>
      <c r="L5" s="3"/>
      <c r="M5" s="3"/>
      <c r="N5" s="3"/>
      <c r="O5" s="1">
        <v>23</v>
      </c>
      <c r="P5" s="3"/>
    </row>
    <row r="6" spans="1:16" x14ac:dyDescent="0.35">
      <c r="A6" s="4">
        <v>42491</v>
      </c>
      <c r="B6" s="3">
        <v>5</v>
      </c>
      <c r="G6" s="3"/>
      <c r="H6" s="3"/>
      <c r="I6" s="3"/>
      <c r="J6" s="3"/>
      <c r="K6" s="3"/>
      <c r="L6" s="3"/>
      <c r="M6" s="3"/>
      <c r="N6" s="3"/>
      <c r="O6" s="1">
        <v>80</v>
      </c>
      <c r="P6" s="3"/>
    </row>
    <row r="7" spans="1:16" x14ac:dyDescent="0.35">
      <c r="A7" s="4">
        <v>42522</v>
      </c>
      <c r="G7" s="3"/>
      <c r="H7" s="3"/>
      <c r="I7" s="3"/>
      <c r="J7" s="3"/>
      <c r="K7" s="3"/>
      <c r="L7" s="3"/>
      <c r="M7" s="3"/>
      <c r="N7" s="3"/>
      <c r="O7" s="1">
        <v>23.19</v>
      </c>
      <c r="P7" s="3"/>
    </row>
    <row r="8" spans="1:16" x14ac:dyDescent="0.35">
      <c r="A8" s="4">
        <v>42552</v>
      </c>
      <c r="B8" s="3">
        <v>4</v>
      </c>
      <c r="C8" s="3">
        <v>2</v>
      </c>
      <c r="G8" s="3"/>
      <c r="H8" s="3"/>
      <c r="I8" s="3"/>
      <c r="J8" s="3"/>
      <c r="K8" s="3"/>
      <c r="L8" s="3"/>
      <c r="M8" s="3"/>
      <c r="N8" s="3"/>
      <c r="O8" s="1">
        <v>81.67</v>
      </c>
      <c r="P8" s="3"/>
    </row>
    <row r="9" spans="1:16" x14ac:dyDescent="0.35">
      <c r="A9" s="4">
        <v>42583</v>
      </c>
      <c r="D9" s="3">
        <v>4</v>
      </c>
      <c r="G9" s="3"/>
      <c r="H9" s="3"/>
      <c r="I9" s="3"/>
      <c r="J9" s="3"/>
      <c r="K9" s="3"/>
      <c r="L9" s="3"/>
      <c r="M9" s="3"/>
      <c r="N9" s="3"/>
      <c r="O9" s="1">
        <v>103.91</v>
      </c>
      <c r="P9" s="3"/>
    </row>
    <row r="10" spans="1:16" x14ac:dyDescent="0.35">
      <c r="A10" s="4">
        <v>42614</v>
      </c>
      <c r="G10" s="3"/>
      <c r="H10" s="3"/>
      <c r="I10" s="3"/>
      <c r="J10" s="3"/>
      <c r="K10" s="3"/>
      <c r="L10" s="3"/>
      <c r="M10" s="3"/>
      <c r="N10" s="3"/>
      <c r="O10" s="1">
        <v>10</v>
      </c>
      <c r="P10" s="3"/>
    </row>
    <row r="11" spans="1:16" x14ac:dyDescent="0.35">
      <c r="A11" s="4">
        <v>42644</v>
      </c>
      <c r="G11" s="3"/>
      <c r="H11" s="3"/>
      <c r="I11" s="3"/>
      <c r="J11" s="3"/>
      <c r="K11" s="3"/>
      <c r="L11" s="3"/>
      <c r="M11" s="3"/>
      <c r="N11" s="3"/>
      <c r="O11" s="1">
        <v>10</v>
      </c>
      <c r="P11" s="3"/>
    </row>
    <row r="12" spans="1:16" x14ac:dyDescent="0.35">
      <c r="A12" s="4">
        <v>42675</v>
      </c>
      <c r="D12" s="3">
        <v>3</v>
      </c>
      <c r="E12" s="3">
        <v>1</v>
      </c>
      <c r="G12" s="3"/>
      <c r="H12" s="3"/>
      <c r="I12" s="3"/>
      <c r="J12" s="3"/>
      <c r="K12" s="3"/>
      <c r="L12" s="3"/>
      <c r="M12" s="3"/>
      <c r="N12" s="3"/>
      <c r="O12" s="1">
        <v>80</v>
      </c>
      <c r="P12" s="3"/>
    </row>
    <row r="13" spans="1:16" x14ac:dyDescent="0.35">
      <c r="A13" s="4">
        <v>42705</v>
      </c>
      <c r="E13" s="3">
        <v>2</v>
      </c>
      <c r="G13" s="3"/>
      <c r="H13" s="3"/>
      <c r="I13" s="3"/>
      <c r="J13" s="3"/>
      <c r="K13" s="3"/>
      <c r="L13" s="3"/>
      <c r="M13" s="3"/>
      <c r="N13" s="3"/>
      <c r="O13" s="1">
        <v>80</v>
      </c>
      <c r="P13" s="1">
        <f>AVERAGE(O2:O13)</f>
        <v>54.641111111111108</v>
      </c>
    </row>
    <row r="14" spans="1:16" x14ac:dyDescent="0.35">
      <c r="A14" s="4">
        <v>42736</v>
      </c>
      <c r="D14" s="3">
        <v>2</v>
      </c>
      <c r="G14" s="3"/>
      <c r="H14" s="3"/>
      <c r="I14" s="3"/>
      <c r="J14" s="3"/>
      <c r="K14" s="3"/>
      <c r="L14" s="3"/>
      <c r="M14" s="3"/>
      <c r="N14" s="3"/>
      <c r="O14" s="1">
        <v>23.65</v>
      </c>
      <c r="P14" s="3"/>
    </row>
    <row r="15" spans="1:16" x14ac:dyDescent="0.35">
      <c r="A15" s="4">
        <v>42767</v>
      </c>
      <c r="G15" s="3"/>
      <c r="H15" s="3"/>
      <c r="I15" s="3"/>
      <c r="J15" s="3"/>
      <c r="K15" s="3"/>
      <c r="L15" s="3"/>
      <c r="M15" s="3"/>
      <c r="N15" s="3"/>
      <c r="O15" s="1">
        <v>10</v>
      </c>
      <c r="P15" s="3"/>
    </row>
    <row r="16" spans="1:16" x14ac:dyDescent="0.35">
      <c r="A16" s="4">
        <v>42795</v>
      </c>
      <c r="G16" s="3"/>
      <c r="H16" s="3"/>
      <c r="I16" s="3"/>
      <c r="J16" s="3"/>
      <c r="K16" s="3"/>
      <c r="L16" s="3"/>
      <c r="M16" s="3"/>
      <c r="N16" s="3"/>
      <c r="O16" s="1">
        <v>10.199999999999999</v>
      </c>
      <c r="P16" s="3"/>
    </row>
    <row r="17" spans="1:16" x14ac:dyDescent="0.35">
      <c r="A17" s="4">
        <v>42826</v>
      </c>
      <c r="G17" s="3"/>
      <c r="H17" s="3"/>
      <c r="I17" s="3"/>
      <c r="J17" s="3"/>
      <c r="K17" s="3"/>
      <c r="L17" s="3"/>
      <c r="M17" s="3"/>
      <c r="N17" s="3"/>
      <c r="O17" s="1">
        <v>10.83</v>
      </c>
      <c r="P17" s="3"/>
    </row>
    <row r="18" spans="1:16" x14ac:dyDescent="0.35">
      <c r="A18" s="4">
        <v>42856</v>
      </c>
      <c r="B18" s="3">
        <v>4</v>
      </c>
      <c r="D18" s="3">
        <v>3</v>
      </c>
      <c r="G18" s="3"/>
      <c r="H18" s="3"/>
      <c r="I18" s="3"/>
      <c r="J18" s="3"/>
      <c r="K18" s="3"/>
      <c r="L18" s="3"/>
      <c r="M18" s="3"/>
      <c r="N18" s="3"/>
      <c r="O18" s="1">
        <v>82.91</v>
      </c>
      <c r="P18" s="3"/>
    </row>
    <row r="19" spans="1:16" x14ac:dyDescent="0.35">
      <c r="A19" s="4">
        <v>42887</v>
      </c>
      <c r="E19" s="3">
        <v>2</v>
      </c>
      <c r="G19" s="3"/>
      <c r="H19" s="3"/>
      <c r="I19" s="3"/>
      <c r="J19" s="3"/>
      <c r="K19" s="3"/>
      <c r="L19" s="3"/>
      <c r="M19" s="3"/>
      <c r="N19" s="3"/>
      <c r="O19" s="1">
        <v>82.28</v>
      </c>
      <c r="P19" s="3"/>
    </row>
    <row r="20" spans="1:16" x14ac:dyDescent="0.35">
      <c r="A20" s="4">
        <v>42917</v>
      </c>
      <c r="F20" s="3">
        <v>4</v>
      </c>
      <c r="G20" s="3"/>
      <c r="H20" s="3"/>
      <c r="I20" s="3"/>
      <c r="J20" s="3"/>
      <c r="K20" s="3"/>
      <c r="L20" s="3"/>
      <c r="M20" s="3"/>
      <c r="N20" s="3"/>
      <c r="O20" s="1">
        <v>82.19</v>
      </c>
      <c r="P20" s="3"/>
    </row>
    <row r="21" spans="1:16" x14ac:dyDescent="0.35">
      <c r="A21" s="4">
        <v>42948</v>
      </c>
      <c r="G21" s="3">
        <v>5</v>
      </c>
      <c r="H21" s="3"/>
      <c r="I21" s="3"/>
      <c r="J21" s="3"/>
      <c r="K21" s="3"/>
      <c r="L21" s="3"/>
      <c r="M21" s="3"/>
      <c r="N21" s="3"/>
      <c r="O21" s="1">
        <v>120.6</v>
      </c>
      <c r="P21" s="3"/>
    </row>
    <row r="22" spans="1:16" x14ac:dyDescent="0.35">
      <c r="A22" s="4">
        <v>42979</v>
      </c>
      <c r="D22" s="3">
        <v>2</v>
      </c>
      <c r="G22" s="3"/>
      <c r="H22" s="3"/>
      <c r="I22" s="3"/>
      <c r="J22" s="3"/>
      <c r="K22" s="3"/>
      <c r="L22" s="3"/>
      <c r="M22" s="3"/>
      <c r="N22" s="3"/>
      <c r="O22" s="1">
        <v>65.83</v>
      </c>
      <c r="P22" s="3"/>
    </row>
    <row r="23" spans="1:16" x14ac:dyDescent="0.35">
      <c r="A23" s="4">
        <v>43009</v>
      </c>
      <c r="D23" s="3">
        <v>1</v>
      </c>
      <c r="E23" s="3">
        <v>1</v>
      </c>
      <c r="G23" s="3"/>
      <c r="H23" s="3"/>
      <c r="I23" s="3"/>
      <c r="J23" s="3"/>
      <c r="K23" s="3"/>
      <c r="L23" s="3"/>
      <c r="M23" s="3"/>
      <c r="N23" s="3"/>
      <c r="O23" s="1">
        <v>66.66</v>
      </c>
      <c r="P23" s="3"/>
    </row>
    <row r="24" spans="1:16" x14ac:dyDescent="0.35">
      <c r="A24" s="4">
        <v>43040</v>
      </c>
      <c r="E24" s="3">
        <v>1</v>
      </c>
      <c r="G24" s="3"/>
      <c r="H24" s="3"/>
      <c r="I24" s="3"/>
      <c r="J24" s="3"/>
      <c r="K24" s="3"/>
      <c r="L24" s="3"/>
      <c r="M24" s="3"/>
      <c r="N24" s="3"/>
      <c r="O24" s="1">
        <v>23</v>
      </c>
      <c r="P24" s="3"/>
    </row>
    <row r="25" spans="1:16" x14ac:dyDescent="0.35">
      <c r="A25" s="4">
        <v>43070</v>
      </c>
      <c r="E25" s="3">
        <v>1</v>
      </c>
      <c r="G25" s="3"/>
      <c r="H25" s="3"/>
      <c r="I25" s="3"/>
      <c r="J25" s="3"/>
      <c r="K25" s="3"/>
      <c r="L25" s="3"/>
      <c r="M25" s="3"/>
      <c r="N25" s="3"/>
      <c r="O25" s="1">
        <v>23</v>
      </c>
      <c r="P25" s="1">
        <f>AVERAGE(O14:O25)</f>
        <v>50.095833333333331</v>
      </c>
    </row>
    <row r="26" spans="1:16" x14ac:dyDescent="0.35">
      <c r="A26" s="4">
        <v>43101</v>
      </c>
      <c r="D26" s="3">
        <v>2</v>
      </c>
      <c r="G26" s="3"/>
      <c r="H26" s="3"/>
      <c r="I26" s="3"/>
      <c r="J26" s="3"/>
      <c r="K26" s="3"/>
      <c r="L26" s="3"/>
      <c r="M26" s="3"/>
      <c r="N26" s="3"/>
      <c r="O26" s="1">
        <v>65</v>
      </c>
      <c r="P26" s="3"/>
    </row>
    <row r="27" spans="1:16" x14ac:dyDescent="0.35">
      <c r="A27" s="4">
        <v>43132</v>
      </c>
      <c r="G27" s="3"/>
      <c r="H27" s="3"/>
      <c r="I27" s="3"/>
      <c r="J27" s="3"/>
      <c r="K27" s="3"/>
      <c r="L27" s="3"/>
      <c r="M27" s="3"/>
      <c r="N27" s="3"/>
      <c r="O27" s="1">
        <v>24.56</v>
      </c>
      <c r="P27" s="3"/>
    </row>
    <row r="28" spans="1:16" x14ac:dyDescent="0.35">
      <c r="A28" s="4">
        <v>43160</v>
      </c>
      <c r="D28" s="3">
        <v>3</v>
      </c>
      <c r="E28" s="3">
        <v>4</v>
      </c>
      <c r="G28" s="3"/>
      <c r="H28" s="3"/>
      <c r="I28" s="3"/>
      <c r="J28" s="3"/>
      <c r="K28" s="3"/>
      <c r="L28" s="3"/>
      <c r="M28" s="3"/>
      <c r="N28" s="3"/>
      <c r="O28" s="1">
        <v>110.86</v>
      </c>
      <c r="P28" s="3"/>
    </row>
    <row r="29" spans="1:16" x14ac:dyDescent="0.35">
      <c r="A29" s="4">
        <v>43191</v>
      </c>
      <c r="G29" s="3"/>
      <c r="H29" s="3"/>
      <c r="I29" s="3"/>
      <c r="J29" s="3"/>
      <c r="K29" s="3"/>
      <c r="L29" s="3"/>
      <c r="M29" s="3"/>
      <c r="N29" s="3"/>
      <c r="O29" s="1">
        <v>10</v>
      </c>
      <c r="P29" s="3"/>
    </row>
    <row r="30" spans="1:16" x14ac:dyDescent="0.35">
      <c r="A30" s="4">
        <v>43221</v>
      </c>
      <c r="O30" s="1">
        <v>10</v>
      </c>
    </row>
    <row r="31" spans="1:16" x14ac:dyDescent="0.35">
      <c r="A31" s="4">
        <v>43252</v>
      </c>
      <c r="E31" s="3">
        <v>1</v>
      </c>
      <c r="O31" s="1">
        <v>126.33</v>
      </c>
    </row>
    <row r="32" spans="1:16" x14ac:dyDescent="0.35">
      <c r="A32" s="4">
        <v>43282</v>
      </c>
      <c r="E32" s="3">
        <v>1</v>
      </c>
      <c r="O32" s="1">
        <v>68.010000000000005</v>
      </c>
    </row>
    <row r="33" spans="1:16" x14ac:dyDescent="0.35">
      <c r="A33" s="4">
        <v>43313</v>
      </c>
      <c r="O33" s="1">
        <v>8.5</v>
      </c>
    </row>
    <row r="34" spans="1:16" x14ac:dyDescent="0.35">
      <c r="A34" s="4">
        <v>43344</v>
      </c>
      <c r="O34" s="1">
        <v>8.5</v>
      </c>
    </row>
    <row r="35" spans="1:16" x14ac:dyDescent="0.35">
      <c r="A35" s="4">
        <v>43374</v>
      </c>
      <c r="E35" s="3">
        <v>6</v>
      </c>
      <c r="F35" s="3">
        <v>3</v>
      </c>
      <c r="O35" s="1">
        <v>81.7</v>
      </c>
    </row>
    <row r="36" spans="1:16" x14ac:dyDescent="0.35">
      <c r="A36" s="4">
        <v>43405</v>
      </c>
      <c r="E36" s="3">
        <v>2</v>
      </c>
      <c r="O36" s="1">
        <v>55</v>
      </c>
    </row>
    <row r="37" spans="1:16" x14ac:dyDescent="0.35">
      <c r="A37" s="4">
        <v>43435</v>
      </c>
      <c r="O37" s="1">
        <v>8.5</v>
      </c>
      <c r="P37" s="1">
        <f>AVERAGE(O26:O37)</f>
        <v>48.080000000000005</v>
      </c>
    </row>
    <row r="38" spans="1:16" x14ac:dyDescent="0.35">
      <c r="A38" s="4">
        <v>43466</v>
      </c>
      <c r="D38" s="3">
        <v>3</v>
      </c>
      <c r="O38" s="1">
        <v>55</v>
      </c>
    </row>
    <row r="39" spans="1:16" x14ac:dyDescent="0.35">
      <c r="A39" s="4">
        <v>43497</v>
      </c>
      <c r="O39" s="1">
        <v>19.5</v>
      </c>
    </row>
    <row r="40" spans="1:16" x14ac:dyDescent="0.35">
      <c r="A40" s="4">
        <v>43525</v>
      </c>
      <c r="D40" s="3">
        <v>1</v>
      </c>
      <c r="O40" s="1">
        <v>19.5</v>
      </c>
    </row>
    <row r="41" spans="1:16" x14ac:dyDescent="0.35">
      <c r="A41" s="4">
        <v>43556</v>
      </c>
      <c r="D41" s="3">
        <v>2</v>
      </c>
      <c r="O41" s="1">
        <v>55</v>
      </c>
    </row>
    <row r="42" spans="1:16" x14ac:dyDescent="0.35">
      <c r="A42" s="4">
        <v>43586</v>
      </c>
      <c r="C42" s="3">
        <v>3</v>
      </c>
      <c r="O42" s="1">
        <v>55</v>
      </c>
    </row>
    <row r="43" spans="1:16" x14ac:dyDescent="0.35">
      <c r="A43" s="4">
        <v>43617</v>
      </c>
      <c r="D43" s="3">
        <v>3</v>
      </c>
      <c r="E43" s="3">
        <v>1</v>
      </c>
      <c r="H43" s="3">
        <v>4</v>
      </c>
      <c r="O43" s="1">
        <v>89.8</v>
      </c>
    </row>
    <row r="44" spans="1:16" x14ac:dyDescent="0.35">
      <c r="A44" s="4">
        <v>43647</v>
      </c>
      <c r="E44" s="3">
        <v>3</v>
      </c>
      <c r="I44" s="2">
        <v>3</v>
      </c>
      <c r="J44" s="2">
        <v>6</v>
      </c>
      <c r="O44" s="1">
        <v>101.03</v>
      </c>
    </row>
    <row r="45" spans="1:16" x14ac:dyDescent="0.35">
      <c r="A45" s="4">
        <v>43678</v>
      </c>
      <c r="O45" s="1">
        <v>8.5</v>
      </c>
    </row>
    <row r="46" spans="1:16" x14ac:dyDescent="0.35">
      <c r="A46" s="4">
        <v>43709</v>
      </c>
      <c r="O46" s="1">
        <v>18.5</v>
      </c>
    </row>
    <row r="47" spans="1:16" x14ac:dyDescent="0.35">
      <c r="A47" s="4">
        <v>43739</v>
      </c>
      <c r="E47" s="3">
        <v>5</v>
      </c>
      <c r="O47" s="1">
        <v>105.25</v>
      </c>
    </row>
    <row r="48" spans="1:16" x14ac:dyDescent="0.35">
      <c r="A48" s="4">
        <v>43770</v>
      </c>
      <c r="D48" s="3">
        <v>5</v>
      </c>
      <c r="E48" s="3">
        <v>4</v>
      </c>
      <c r="O48" s="1">
        <v>122.22</v>
      </c>
    </row>
    <row r="49" spans="1:16" x14ac:dyDescent="0.35">
      <c r="A49" s="4">
        <v>43800</v>
      </c>
      <c r="O49" s="1">
        <v>8.5</v>
      </c>
      <c r="P49" s="1">
        <f>AVERAGE(O38:O49)</f>
        <v>54.81666666666667</v>
      </c>
    </row>
    <row r="50" spans="1:16" x14ac:dyDescent="0.35">
      <c r="A50" s="4">
        <v>43831</v>
      </c>
      <c r="C50" s="3">
        <v>1</v>
      </c>
      <c r="O50" s="1">
        <v>19.5</v>
      </c>
    </row>
    <row r="51" spans="1:16" x14ac:dyDescent="0.35">
      <c r="A51" s="4">
        <v>43862</v>
      </c>
      <c r="O51" s="1">
        <v>8.5</v>
      </c>
    </row>
    <row r="52" spans="1:16" x14ac:dyDescent="0.35">
      <c r="A52" s="4">
        <v>43891</v>
      </c>
      <c r="E52" s="3">
        <v>2</v>
      </c>
      <c r="O52" s="1">
        <v>19.5</v>
      </c>
    </row>
    <row r="53" spans="1:16" x14ac:dyDescent="0.35">
      <c r="A53" s="4">
        <v>43922</v>
      </c>
      <c r="O53" s="1">
        <v>32</v>
      </c>
    </row>
    <row r="54" spans="1:16" x14ac:dyDescent="0.35">
      <c r="A54" s="4">
        <v>43952</v>
      </c>
      <c r="O54" s="1">
        <v>32</v>
      </c>
    </row>
    <row r="55" spans="1:16" x14ac:dyDescent="0.35">
      <c r="A55" s="4">
        <v>43983</v>
      </c>
      <c r="O55" s="1">
        <v>32</v>
      </c>
    </row>
    <row r="56" spans="1:16" x14ac:dyDescent="0.35">
      <c r="A56" s="4">
        <v>44013</v>
      </c>
      <c r="O56" s="1">
        <v>25</v>
      </c>
    </row>
    <row r="57" spans="1:16" x14ac:dyDescent="0.35">
      <c r="A57" s="4">
        <v>44044</v>
      </c>
      <c r="O57" s="1">
        <v>25</v>
      </c>
    </row>
    <row r="58" spans="1:16" x14ac:dyDescent="0.35">
      <c r="A58" s="4">
        <v>44075</v>
      </c>
      <c r="O58" s="1">
        <v>25</v>
      </c>
    </row>
    <row r="59" spans="1:16" x14ac:dyDescent="0.35">
      <c r="A59" s="4">
        <v>44105</v>
      </c>
      <c r="O59" s="1">
        <v>25</v>
      </c>
    </row>
    <row r="60" spans="1:16" x14ac:dyDescent="0.35">
      <c r="A60" s="4">
        <v>44136</v>
      </c>
      <c r="O60" s="1">
        <v>25</v>
      </c>
    </row>
    <row r="61" spans="1:16" x14ac:dyDescent="0.35">
      <c r="A61" s="4">
        <v>44166</v>
      </c>
      <c r="O61" s="1">
        <v>20</v>
      </c>
      <c r="P61" s="1">
        <f>AVERAGE(O50:O61)</f>
        <v>24.041666666666668</v>
      </c>
    </row>
    <row r="62" spans="1:16" x14ac:dyDescent="0.35">
      <c r="A62" s="4">
        <v>44197</v>
      </c>
      <c r="O62" s="1">
        <v>20</v>
      </c>
    </row>
    <row r="63" spans="1:16" x14ac:dyDescent="0.35">
      <c r="A63" s="4">
        <v>44228</v>
      </c>
      <c r="O63" s="1">
        <v>20</v>
      </c>
    </row>
    <row r="64" spans="1:16" x14ac:dyDescent="0.35">
      <c r="A64" s="4">
        <v>44256</v>
      </c>
    </row>
    <row r="65" spans="1:15" x14ac:dyDescent="0.35">
      <c r="A65" s="4">
        <v>44287</v>
      </c>
    </row>
    <row r="66" spans="1:15" x14ac:dyDescent="0.35">
      <c r="A66" s="4">
        <v>44317</v>
      </c>
    </row>
    <row r="67" spans="1:15" x14ac:dyDescent="0.35">
      <c r="A67" s="4">
        <v>44348</v>
      </c>
    </row>
    <row r="68" spans="1:15" x14ac:dyDescent="0.35">
      <c r="A68" s="4">
        <v>44378</v>
      </c>
    </row>
    <row r="69" spans="1:15" x14ac:dyDescent="0.35">
      <c r="A69" s="4">
        <v>44409</v>
      </c>
    </row>
    <row r="70" spans="1:15" x14ac:dyDescent="0.35">
      <c r="A70" s="4">
        <v>44440</v>
      </c>
    </row>
    <row r="71" spans="1:15" x14ac:dyDescent="0.35">
      <c r="A71" s="4">
        <v>44470</v>
      </c>
    </row>
    <row r="72" spans="1:15" x14ac:dyDescent="0.35">
      <c r="A72" s="4">
        <v>44501</v>
      </c>
    </row>
    <row r="73" spans="1:15" x14ac:dyDescent="0.35">
      <c r="A73" s="4">
        <v>44531</v>
      </c>
      <c r="O73" s="1">
        <v>20</v>
      </c>
    </row>
    <row r="74" spans="1:15" x14ac:dyDescent="0.35">
      <c r="A74" s="4">
        <v>44562</v>
      </c>
    </row>
    <row r="75" spans="1:15" x14ac:dyDescent="0.35">
      <c r="A75" s="4">
        <v>44593</v>
      </c>
      <c r="E75" s="3">
        <v>4</v>
      </c>
    </row>
    <row r="76" spans="1:15" x14ac:dyDescent="0.35">
      <c r="A76" s="4">
        <v>44621</v>
      </c>
    </row>
    <row r="77" spans="1:15" x14ac:dyDescent="0.35">
      <c r="A77" s="4">
        <v>44652</v>
      </c>
    </row>
    <row r="78" spans="1:15" x14ac:dyDescent="0.35">
      <c r="A78" s="4">
        <v>44682</v>
      </c>
    </row>
    <row r="79" spans="1:15" x14ac:dyDescent="0.35">
      <c r="A79" s="4">
        <v>44713</v>
      </c>
      <c r="E79" s="3">
        <v>2</v>
      </c>
    </row>
    <row r="80" spans="1:15" x14ac:dyDescent="0.35">
      <c r="A80" s="4">
        <v>44743</v>
      </c>
      <c r="E80" s="3">
        <v>1</v>
      </c>
    </row>
    <row r="81" spans="1:19" x14ac:dyDescent="0.35">
      <c r="A81" s="4">
        <v>44774</v>
      </c>
      <c r="D81" s="3">
        <v>5</v>
      </c>
    </row>
    <row r="82" spans="1:19" x14ac:dyDescent="0.35">
      <c r="A82" s="4">
        <v>44805</v>
      </c>
      <c r="C82" s="3">
        <v>1</v>
      </c>
    </row>
    <row r="83" spans="1:19" x14ac:dyDescent="0.35">
      <c r="A83" s="4">
        <v>44835</v>
      </c>
      <c r="C83" s="3">
        <v>9</v>
      </c>
    </row>
    <row r="84" spans="1:19" x14ac:dyDescent="0.35">
      <c r="A84" s="4">
        <v>44866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35">
      <c r="A85" s="4">
        <v>44896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35">
      <c r="A86" s="4">
        <v>44927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35">
      <c r="A87" s="4">
        <v>44958</v>
      </c>
      <c r="E87" s="3">
        <v>2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35">
      <c r="A88" s="4">
        <v>44986</v>
      </c>
      <c r="G88" s="3">
        <v>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35">
      <c r="A89" s="4">
        <v>45017</v>
      </c>
      <c r="G89" s="3">
        <v>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35">
      <c r="A90" s="4">
        <v>45047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35">
      <c r="A91" s="4">
        <v>45078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35">
      <c r="A92" s="4">
        <v>45108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35">
      <c r="A93" s="4">
        <v>45139</v>
      </c>
      <c r="G93" s="3"/>
      <c r="H93" s="3"/>
      <c r="I93" s="3"/>
      <c r="J93" s="3"/>
      <c r="K93" s="3">
        <v>10</v>
      </c>
      <c r="L93" s="3">
        <v>3</v>
      </c>
      <c r="M93" s="3"/>
      <c r="N93" s="3"/>
      <c r="O93" s="3"/>
      <c r="P93" s="3"/>
      <c r="Q93" s="3"/>
      <c r="R93" s="3"/>
      <c r="S93" s="3"/>
    </row>
    <row r="94" spans="1:19" x14ac:dyDescent="0.35">
      <c r="A94" s="4">
        <v>45170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35">
      <c r="A95" s="4">
        <v>45200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35">
      <c r="A96" s="4">
        <v>45231</v>
      </c>
      <c r="G96" s="3"/>
      <c r="H96" s="3"/>
      <c r="I96" s="3">
        <v>3</v>
      </c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35">
      <c r="A97" s="4">
        <v>45261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35">
      <c r="A98" s="4">
        <v>45292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35">
      <c r="A99" s="4">
        <v>45323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35">
      <c r="A100" s="4">
        <v>45352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35">
      <c r="A101" s="4">
        <v>45383</v>
      </c>
      <c r="G101" s="3"/>
      <c r="H101" s="3"/>
      <c r="I101" s="3"/>
      <c r="J101" s="3"/>
      <c r="K101" s="3">
        <v>4</v>
      </c>
      <c r="L101" s="3">
        <v>9</v>
      </c>
      <c r="M101" s="3"/>
      <c r="N101" s="3"/>
      <c r="O101" s="3"/>
      <c r="P101" s="3"/>
      <c r="Q101" s="3"/>
      <c r="R101" s="3"/>
      <c r="S101" s="3"/>
    </row>
    <row r="102" spans="1:19" x14ac:dyDescent="0.35">
      <c r="A102" s="4">
        <v>45413</v>
      </c>
      <c r="G102" s="3">
        <v>5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35">
      <c r="A103" s="4">
        <v>45444</v>
      </c>
      <c r="E103" s="3">
        <v>2</v>
      </c>
      <c r="G103" s="3">
        <v>3</v>
      </c>
      <c r="H103" s="3"/>
      <c r="I103" s="3">
        <v>2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35">
      <c r="A104" s="4">
        <v>45474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35">
      <c r="A105" s="4">
        <v>45505</v>
      </c>
    </row>
    <row r="106" spans="1:19" x14ac:dyDescent="0.35">
      <c r="A106" s="4">
        <v>45536</v>
      </c>
      <c r="L106" s="2">
        <v>7</v>
      </c>
    </row>
    <row r="107" spans="1:19" x14ac:dyDescent="0.35">
      <c r="A107" s="4">
        <v>45566</v>
      </c>
      <c r="M107" s="2">
        <v>8</v>
      </c>
    </row>
    <row r="108" spans="1:19" x14ac:dyDescent="0.35">
      <c r="A108" s="4">
        <v>45597</v>
      </c>
    </row>
    <row r="109" spans="1:19" x14ac:dyDescent="0.35">
      <c r="A109" s="4">
        <v>45627</v>
      </c>
    </row>
    <row r="110" spans="1:19" x14ac:dyDescent="0.35">
      <c r="A110" s="4">
        <v>45658</v>
      </c>
      <c r="E110" s="3">
        <v>3</v>
      </c>
    </row>
    <row r="111" spans="1:19" x14ac:dyDescent="0.35">
      <c r="A111" s="4">
        <v>45689</v>
      </c>
    </row>
    <row r="112" spans="1:19" x14ac:dyDescent="0.35">
      <c r="A112" s="4">
        <v>45717</v>
      </c>
    </row>
    <row r="113" spans="1:14" x14ac:dyDescent="0.35">
      <c r="A113" s="4">
        <v>45748</v>
      </c>
      <c r="E113" s="3">
        <v>3</v>
      </c>
      <c r="L113" s="2">
        <v>6</v>
      </c>
    </row>
    <row r="114" spans="1:14" x14ac:dyDescent="0.35">
      <c r="A114" s="4">
        <v>45778</v>
      </c>
      <c r="N114" s="2">
        <v>2</v>
      </c>
    </row>
    <row r="115" spans="1:14" x14ac:dyDescent="0.35">
      <c r="A115" s="4">
        <v>45809</v>
      </c>
    </row>
    <row r="116" spans="1:14" x14ac:dyDescent="0.35">
      <c r="A116" s="4">
        <v>45839</v>
      </c>
    </row>
    <row r="117" spans="1:14" x14ac:dyDescent="0.35">
      <c r="A117" s="4">
        <v>45870</v>
      </c>
    </row>
    <row r="118" spans="1:14" x14ac:dyDescent="0.35">
      <c r="A118" s="4">
        <v>45901</v>
      </c>
      <c r="J118" s="2">
        <v>2</v>
      </c>
    </row>
    <row r="119" spans="1:14" x14ac:dyDescent="0.35">
      <c r="A119" s="4">
        <v>45931</v>
      </c>
      <c r="J119" s="2">
        <v>1</v>
      </c>
    </row>
    <row r="120" spans="1:14" x14ac:dyDescent="0.35">
      <c r="A120" s="4">
        <v>45962</v>
      </c>
      <c r="E120" s="3">
        <v>3</v>
      </c>
    </row>
    <row r="121" spans="1:14" x14ac:dyDescent="0.35">
      <c r="A121" s="4">
        <v>45992</v>
      </c>
    </row>
  </sheetData>
  <pageMargins left="0.7" right="0.7" top="0.75" bottom="0.75" header="0.3" footer="0.3"/>
  <pageSetup orientation="portrait" r:id="rId1"/>
  <ignoredErrors>
    <ignoredError sqref="P25 P49 P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SizeOrChildItemCount xmlns="d92fc194-eb53-4f7a-b45f-993e54cb3c65">17 KB</FileSizeOrChildItemCount>
    <_dlc_ExpireDate xmlns="http://schemas.microsoft.com/sharepoint/v3">2028-11-30T23:00:00+00:00</_dlc_ExpireDate>
    <TaxCatchAll xmlns="f191ad30-9ade-4f0c-b78e-cf30469879ae"/>
    <DocumentType xmlns="1071F304-F5D9-4CC4-AFCF-D37DA46A96D4">1</DocumentType>
    <TaxKeywordTaxHTField xmlns="d92fc194-eb53-4f7a-b45f-993e54cb3c65">
      <Terms xmlns="http://schemas.microsoft.com/office/infopath/2007/PartnerControls"/>
    </TaxKeywordTaxHTField>
    <_dlc_ExpireDateSaved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4181E9E5D52F4C9586F49BFE5EE298" ma:contentTypeVersion="" ma:contentTypeDescription="Create a new document." ma:contentTypeScope="" ma:versionID="8a7a4b3985722b9877beb0be694fbd58">
  <xsd:schema xmlns:xsd="http://www.w3.org/2001/XMLSchema" xmlns:xs="http://www.w3.org/2001/XMLSchema" xmlns:p="http://schemas.microsoft.com/office/2006/metadata/properties" xmlns:ns1="http://schemas.microsoft.com/sharepoint/v3" xmlns:ns2="1071F304-F5D9-4CC4-AFCF-D37DA46A96D4" xmlns:ns3="d92fc194-eb53-4f7a-b45f-993e54cb3c65" xmlns:ns4="f191ad30-9ade-4f0c-b78e-cf30469879ae" targetNamespace="http://schemas.microsoft.com/office/2006/metadata/properties" ma:root="true" ma:fieldsID="751d83e966f247b9feaf745e5d14cfa5" ns1:_="" ns2:_="" ns3:_="" ns4:_="">
    <xsd:import namespace="http://schemas.microsoft.com/sharepoint/v3"/>
    <xsd:import namespace="1071F304-F5D9-4CC4-AFCF-D37DA46A96D4"/>
    <xsd:import namespace="d92fc194-eb53-4f7a-b45f-993e54cb3c65"/>
    <xsd:import namespace="f191ad30-9ade-4f0c-b78e-cf30469879ae"/>
    <xsd:element name="properties">
      <xsd:complexType>
        <xsd:sequence>
          <xsd:element name="documentManagement">
            <xsd:complexType>
              <xsd:all>
                <xsd:element ref="ns2:DocumentType"/>
                <xsd:element ref="ns3:FileSizeOrChildItemCount" minOccurs="0"/>
                <xsd:element ref="ns3:TaxKeywordTaxHTField" minOccurs="0"/>
                <xsd:element ref="ns4:TaxCatchAll" minOccurs="0"/>
                <xsd:element ref="ns1:_dlc_ExpireDateSaved" minOccurs="0"/>
                <xsd:element ref="ns1:_dlc_ExpireDate" minOccurs="0"/>
                <xsd:element ref="ns1:_dlc_Exempt" minOccurs="0"/>
                <xsd:element ref="ns1:_vti_ItemDeclaredRecor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Saved" ma:index="13" nillable="true" ma:displayName="Original Expiration Date" ma:hidden="true" ma:internalName="_dlc_ExpireDateSaved" ma:readOnly="true">
      <xsd:simpleType>
        <xsd:restriction base="dms:DateTime"/>
      </xsd:simpleType>
    </xsd:element>
    <xsd:element name="_dlc_ExpireDate" ma:index="14" nillable="true" ma:displayName="Expiration Date" ma:description="" ma:hidden="true" ma:indexed="true" ma:internalName="_dlc_ExpireDate" ma:readOnly="true">
      <xsd:simpleType>
        <xsd:restriction base="dms:DateTime"/>
      </xsd:simpleType>
    </xsd:element>
    <xsd:element name="_dlc_Exempt" ma:index="15" nillable="true" ma:displayName="Exempt from Policy" ma:hidden="true" ma:internalName="_dlc_Exempt" ma:readOnly="true">
      <xsd:simpleType>
        <xsd:restriction base="dms:Unknown"/>
      </xsd:simpleType>
    </xsd:element>
    <xsd:element name="_vti_ItemDeclaredRecord" ma:index="16" nillable="true" ma:displayName="Declared Record" ma:description="" ma:hidden="true" ma:indexed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71F304-F5D9-4CC4-AFCF-D37DA46A96D4" elementFormDefault="qualified">
    <xsd:import namespace="http://schemas.microsoft.com/office/2006/documentManagement/types"/>
    <xsd:import namespace="http://schemas.microsoft.com/office/infopath/2007/PartnerControls"/>
    <xsd:element name="DocumentType" ma:index="8" ma:displayName="Document Type" ma:indexed="true" ma:list="{5BD6CBD0-9690-4A4A-9071-E63A159FE83C}" ma:internalName="DocumentType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fc194-eb53-4f7a-b45f-993e54cb3c65" elementFormDefault="qualified">
    <xsd:import namespace="http://schemas.microsoft.com/office/2006/documentManagement/types"/>
    <xsd:import namespace="http://schemas.microsoft.com/office/infopath/2007/PartnerControls"/>
    <xsd:element name="FileSizeOrChildItemCount" ma:index="9" nillable="true" ma:displayName="Size" ma:default="0" ma:internalName="FileSizeOrChildItemCount" ma:readOnly="true">
      <xsd:simpleType>
        <xsd:restriction base="dms:Text"/>
      </xsd:simpleType>
    </xsd:element>
    <xsd:element name="TaxKeywordTaxHTField" ma:index="11" nillable="true" ma:taxonomy="true" ma:internalName="TaxKeywordTaxHTField" ma:taxonomyFieldName="TaxKeyword" ma:displayName="Enterprise Keywords" ma:fieldId="{23f27201-bee3-471e-b2e7-b64fd8b7ca38}" ma:taxonomyMulti="true" ma:sspId="cb3b16da-6438-44a9-840c-73f1ed966cc5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91ad30-9ade-4f0c-b78e-cf30469879a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description="" ma:hidden="true" ma:list="{4a48af85-7fb4-44b7-b3dc-2f43b72cff3b}" ma:internalName="TaxCatchAll" ma:showField="CatchAllData" ma:web="d92fc194-eb53-4f7a-b45f-993e54cb3c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EC803-CE3A-41AA-8A6B-E3884C13B2B5}">
  <ds:schemaRefs>
    <ds:schemaRef ds:uri="http://schemas.microsoft.com/office/infopath/2007/PartnerControls"/>
    <ds:schemaRef ds:uri="http://purl.org/dc/terms/"/>
    <ds:schemaRef ds:uri="http://purl.org/dc/dcmitype/"/>
    <ds:schemaRef ds:uri="f191ad30-9ade-4f0c-b78e-cf30469879ae"/>
    <ds:schemaRef ds:uri="http://schemas.microsoft.com/office/2006/documentManagement/types"/>
    <ds:schemaRef ds:uri="d92fc194-eb53-4f7a-b45f-993e54cb3c65"/>
    <ds:schemaRef ds:uri="http://schemas.openxmlformats.org/package/2006/metadata/core-properties"/>
    <ds:schemaRef ds:uri="http://purl.org/dc/elements/1.1/"/>
    <ds:schemaRef ds:uri="http://www.w3.org/XML/1998/namespace"/>
    <ds:schemaRef ds:uri="1071F304-F5D9-4CC4-AFCF-D37DA46A96D4"/>
    <ds:schemaRef ds:uri="http://schemas.microsoft.com/sharepoint/v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CDF0CD2-A3B5-41A6-B6D3-1EA02F2B63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071F304-F5D9-4CC4-AFCF-D37DA46A96D4"/>
    <ds:schemaRef ds:uri="d92fc194-eb53-4f7a-b45f-993e54cb3c65"/>
    <ds:schemaRef ds:uri="f191ad30-9ade-4f0c-b78e-cf30469879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A77888-53C6-464C-8A2C-8B68487BDD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Rufibach</dc:creator>
  <cp:lastModifiedBy>Kaspar Rufibach</cp:lastModifiedBy>
  <dcterms:created xsi:type="dcterms:W3CDTF">2017-01-02T12:47:23Z</dcterms:created>
  <dcterms:modified xsi:type="dcterms:W3CDTF">2025-11-29T21:14:36Z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>/team/20129226/Documents</vt:lpwstr>
  </property>
  <property fmtid="{D5CDD505-2E9C-101B-9397-08002B2CF9AE}" pid="3" name="ContentTypeId">
    <vt:lpwstr>0x0101002D4181E9E5D52F4C9586F49BFE5EE298</vt:lpwstr>
  </property>
  <property fmtid="{D5CDD505-2E9C-101B-9397-08002B2CF9AE}" pid="4" name="ItemRetentionFormula">
    <vt:lpwstr>&lt;formula id="Roche.Common.Coremap.ExpirationFormula" /&gt;</vt:lpwstr>
  </property>
  <property fmtid="{D5CDD505-2E9C-101B-9397-08002B2CF9AE}" pid="5" name="TaxKeyword">
    <vt:lpwstr/>
  </property>
</Properties>
</file>